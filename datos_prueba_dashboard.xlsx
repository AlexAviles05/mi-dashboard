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de Métricas" sheetId="1" state="visible" r:id="rId1"/>
    <sheet xmlns:r="http://schemas.openxmlformats.org/officeDocument/2006/relationships" name="Datos de Sopor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333333"/>
      <sz val="10"/>
    </font>
    <font>
      <name val="Arial"/>
      <b val="1"/>
      <color rgb="001F497D"/>
      <sz val="16"/>
    </font>
    <font>
      <name val="Arial"/>
      <b val="1"/>
      <color rgb="002C3E50"/>
      <sz val="12"/>
    </font>
    <font>
      <name val="Arial"/>
      <b val="1"/>
      <color rgb="001F497D"/>
      <sz val="10"/>
    </font>
  </fonts>
  <fills count="5">
    <fill>
      <patternFill/>
    </fill>
    <fill>
      <patternFill patternType="gray125"/>
    </fill>
    <fill>
      <patternFill patternType="solid">
        <fgColor rgb="0034495E"/>
        <bgColor rgb="0034495E"/>
      </patternFill>
    </fill>
    <fill>
      <patternFill patternType="solid">
        <fgColor rgb="00F2F4F4"/>
        <bgColor rgb="00F2F4F4"/>
      </patternFill>
    </fill>
    <fill>
      <patternFill patternType="solid">
        <fgColor rgb="00EAEDED"/>
        <bgColor rgb="00EAEDED"/>
      </patternFill>
    </fill>
  </fills>
  <borders count="3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  <border>
      <top style="thin">
        <color rgb="0034495E"/>
      </top>
      <bottom style="double">
        <color rgb="0034495E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0" fontId="5" fillId="4" borderId="2" applyAlignment="1" pivotButton="0" quotePrefix="0" xfId="0">
      <alignment horizontal="left" vertical="center"/>
    </xf>
    <xf numFmtId="3" fontId="5" fillId="4" borderId="2" applyAlignment="1" pivotButton="0" quotePrefix="0" xfId="0">
      <alignment horizontal="right" vertical="center"/>
    </xf>
    <xf numFmtId="164" fontId="5" fillId="4" borderId="2" applyAlignment="1" pivotButton="0" quotePrefix="0" xfId="0">
      <alignment horizontal="right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20"/>
  <sheetViews>
    <sheetView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16" customWidth="1" min="3" max="3"/>
    <col width="24" customWidth="1" min="4" max="4"/>
  </cols>
  <sheetData>
    <row r="2">
      <c r="B2" s="1" t="inlineStr">
        <is>
          <t>📊 PANEL DE CONTROL: REPORTE DE TICKETS DE SOPORTE</t>
        </is>
      </c>
    </row>
    <row r="5">
      <c r="B5" s="2" t="inlineStr">
        <is>
          <t>Resumen por Sistema / Módulo</t>
        </is>
      </c>
    </row>
    <row r="6">
      <c r="B6" s="3" t="inlineStr">
        <is>
          <t>Sistema / Módulo</t>
        </is>
      </c>
      <c r="C6" s="3" t="inlineStr">
        <is>
          <t>Total Tickets</t>
        </is>
      </c>
      <c r="D6" s="3" t="inlineStr">
        <is>
          <t>Tiempo Promedio (min)</t>
        </is>
      </c>
    </row>
    <row r="7">
      <c r="B7" s="4" t="inlineStr">
        <is>
          <t>Back Office</t>
        </is>
      </c>
      <c r="C7" s="5">
        <f>COUNTIF('Datos de Soporte'!D2:D13, "Back Office")</f>
        <v/>
      </c>
      <c r="D7" s="6">
        <f>AVERAGEIF('Datos de Soporte'!D2:D13, "Back Office", 'Datos de Soporte'!G2:G13)</f>
        <v/>
      </c>
    </row>
    <row r="8">
      <c r="B8" s="4" t="inlineStr">
        <is>
          <t>POS</t>
        </is>
      </c>
      <c r="C8" s="5">
        <f>COUNTIF('Datos de Soporte'!D2:D13, "POS")</f>
        <v/>
      </c>
      <c r="D8" s="6">
        <f>AVERAGEIF('Datos de Soporte'!D2:D13, "POS", 'Datos de Soporte'!G2:G13)</f>
        <v/>
      </c>
    </row>
    <row r="9">
      <c r="B9" s="4" t="inlineStr">
        <is>
          <t>Mesa de Ayuda</t>
        </is>
      </c>
      <c r="C9" s="5">
        <f>COUNTIF('Datos de Soporte'!D2:D13, "Mesa de Ayuda")</f>
        <v/>
      </c>
      <c r="D9" s="6">
        <f>AVERAGEIF('Datos de Soporte'!D2:D13, "Mesa de Ayuda", 'Datos de Soporte'!G2:G13)</f>
        <v/>
      </c>
    </row>
    <row r="10">
      <c r="B10" s="7" t="inlineStr">
        <is>
          <t>Total General</t>
        </is>
      </c>
      <c r="C10" s="8">
        <f>SUM(C7:C9)</f>
        <v/>
      </c>
      <c r="D10" s="9">
        <f>AVERAGEIF('Datos de Soporte'!G2:G13, "&gt;0")</f>
        <v/>
      </c>
    </row>
    <row r="13">
      <c r="B13" s="2" t="inlineStr">
        <is>
          <t>Resumen por Tipo de Incidencia</t>
        </is>
      </c>
    </row>
    <row r="14">
      <c r="B14" s="3" t="inlineStr">
        <is>
          <t>Tipo de Problema</t>
        </is>
      </c>
      <c r="C14" s="3" t="inlineStr">
        <is>
          <t>Cantidad</t>
        </is>
      </c>
    </row>
    <row r="15">
      <c r="B15" s="4" t="inlineStr">
        <is>
          <t>Usuario Bloqueado</t>
        </is>
      </c>
      <c r="C15" s="5">
        <f>COUNTIF('Datos de Soporte'!E2:E13, "Usuario Bloqueado")</f>
        <v/>
      </c>
    </row>
    <row r="16">
      <c r="B16" s="4" t="inlineStr">
        <is>
          <t>Contraseña Expirada</t>
        </is>
      </c>
      <c r="C16" s="5">
        <f>COUNTIF('Datos de Soporte'!E2:E13, "Contraseña Expirada")</f>
        <v/>
      </c>
    </row>
    <row r="17">
      <c r="B17" s="4" t="inlineStr">
        <is>
          <t>Error de Permisos</t>
        </is>
      </c>
      <c r="C17" s="5">
        <f>COUNTIF('Datos de Soporte'!E2:E13, "Error de Permisos")</f>
        <v/>
      </c>
    </row>
    <row r="18">
      <c r="B18" s="4" t="inlineStr">
        <is>
          <t>Falla de Sistema</t>
        </is>
      </c>
      <c r="C18" s="5">
        <f>COUNTIF('Datos de Soporte'!E2:E13, "Falla de Sistema")</f>
        <v/>
      </c>
    </row>
    <row r="19">
      <c r="B19" s="4" t="inlineStr">
        <is>
          <t>Error de Conexión</t>
        </is>
      </c>
      <c r="C19" s="5">
        <f>COUNTIF('Datos de Soporte'!E2:E13, "Error de Conexión")</f>
        <v/>
      </c>
    </row>
    <row r="20">
      <c r="B20" s="7" t="inlineStr">
        <is>
          <t>Total</t>
        </is>
      </c>
      <c r="C20" s="8">
        <f>SUM(C15:C19)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9" customWidth="1" min="4" max="4"/>
    <col width="22" customWidth="1" min="5" max="5"/>
    <col width="12" customWidth="1" min="6" max="6"/>
    <col width="24" customWidth="1" min="7" max="7"/>
  </cols>
  <sheetData>
    <row r="1">
      <c r="A1" s="3" t="inlineStr">
        <is>
          <t>ID Ticket</t>
        </is>
      </c>
      <c r="B1" s="3" t="inlineStr">
        <is>
          <t>Fecha</t>
        </is>
      </c>
      <c r="C1" s="3" t="inlineStr">
        <is>
          <t>Usuario</t>
        </is>
      </c>
      <c r="D1" s="3" t="inlineStr">
        <is>
          <t>Módulo / Sistema</t>
        </is>
      </c>
      <c r="E1" s="3" t="inlineStr">
        <is>
          <t>Tipo de Problema</t>
        </is>
      </c>
      <c r="F1" s="3" t="inlineStr">
        <is>
          <t>Estado</t>
        </is>
      </c>
      <c r="G1" s="3" t="inlineStr">
        <is>
          <t>Tiempo Solución (min)</t>
        </is>
      </c>
    </row>
    <row r="2">
      <c r="A2" s="10" t="inlineStr">
        <is>
          <t>TK-1001</t>
        </is>
      </c>
      <c r="B2" s="10" t="inlineStr">
        <is>
          <t>2026-05-15</t>
        </is>
      </c>
      <c r="C2" s="11" t="inlineStr">
        <is>
          <t>Juan Pérez</t>
        </is>
      </c>
      <c r="D2" s="11" t="inlineStr">
        <is>
          <t>Back Office</t>
        </is>
      </c>
      <c r="E2" s="11" t="inlineStr">
        <is>
          <t>Usuario Bloqueado</t>
        </is>
      </c>
      <c r="F2" s="10" t="inlineStr">
        <is>
          <t>Resuelto</t>
        </is>
      </c>
      <c r="G2" s="12" t="n">
        <v>15</v>
      </c>
    </row>
    <row r="3">
      <c r="A3" s="13" t="inlineStr">
        <is>
          <t>TK-1002</t>
        </is>
      </c>
      <c r="B3" s="13" t="inlineStr">
        <is>
          <t>2026-05-15</t>
        </is>
      </c>
      <c r="C3" s="4" t="inlineStr">
        <is>
          <t>Cynthia B.</t>
        </is>
      </c>
      <c r="D3" s="4" t="inlineStr">
        <is>
          <t>POS</t>
        </is>
      </c>
      <c r="E3" s="4" t="inlineStr">
        <is>
          <t>Error de Conexión</t>
        </is>
      </c>
      <c r="F3" s="13" t="inlineStr">
        <is>
          <t>Resuelto</t>
        </is>
      </c>
      <c r="G3" s="5" t="n">
        <v>30</v>
      </c>
    </row>
    <row r="4">
      <c r="A4" s="10" t="inlineStr">
        <is>
          <t>TK-1003</t>
        </is>
      </c>
      <c r="B4" s="10" t="inlineStr">
        <is>
          <t>2026-05-16</t>
        </is>
      </c>
      <c r="C4" s="11" t="inlineStr">
        <is>
          <t>Alex A.</t>
        </is>
      </c>
      <c r="D4" s="11" t="inlineStr">
        <is>
          <t>Back Office</t>
        </is>
      </c>
      <c r="E4" s="11" t="inlineStr">
        <is>
          <t>Contraseña Expirada</t>
        </is>
      </c>
      <c r="F4" s="10" t="inlineStr">
        <is>
          <t>Resuelto</t>
        </is>
      </c>
      <c r="G4" s="12" t="n">
        <v>10</v>
      </c>
    </row>
    <row r="5">
      <c r="A5" s="13" t="inlineStr">
        <is>
          <t>TK-1004</t>
        </is>
      </c>
      <c r="B5" s="13" t="inlineStr">
        <is>
          <t>2026-05-16</t>
        </is>
      </c>
      <c r="C5" s="4" t="inlineStr">
        <is>
          <t>María Luz</t>
        </is>
      </c>
      <c r="D5" s="4" t="inlineStr">
        <is>
          <t>Mesa de Ayuda</t>
        </is>
      </c>
      <c r="E5" s="4" t="inlineStr">
        <is>
          <t>Falla de Sistema</t>
        </is>
      </c>
      <c r="F5" s="13" t="inlineStr">
        <is>
          <t>Pendiente</t>
        </is>
      </c>
      <c r="G5" s="5" t="n">
        <v>0</v>
      </c>
    </row>
    <row r="6">
      <c r="A6" s="10" t="inlineStr">
        <is>
          <t>TK-1005</t>
        </is>
      </c>
      <c r="B6" s="10" t="inlineStr">
        <is>
          <t>2026-05-17</t>
        </is>
      </c>
      <c r="C6" s="11" t="inlineStr">
        <is>
          <t>Pedro C.</t>
        </is>
      </c>
      <c r="D6" s="11" t="inlineStr">
        <is>
          <t>POS</t>
        </is>
      </c>
      <c r="E6" s="11" t="inlineStr">
        <is>
          <t>Usuario Bloqueado</t>
        </is>
      </c>
      <c r="F6" s="10" t="inlineStr">
        <is>
          <t>Resuelto</t>
        </is>
      </c>
      <c r="G6" s="12" t="n">
        <v>20</v>
      </c>
    </row>
    <row r="7">
      <c r="A7" s="13" t="inlineStr">
        <is>
          <t>TK-1006</t>
        </is>
      </c>
      <c r="B7" s="13" t="inlineStr">
        <is>
          <t>2026-05-17</t>
        </is>
      </c>
      <c r="C7" s="4" t="inlineStr">
        <is>
          <t>Gaby R.</t>
        </is>
      </c>
      <c r="D7" s="4" t="inlineStr">
        <is>
          <t>Back Office</t>
        </is>
      </c>
      <c r="E7" s="4" t="inlineStr">
        <is>
          <t>Error de Permisos</t>
        </is>
      </c>
      <c r="F7" s="13" t="inlineStr">
        <is>
          <t>Resuelto</t>
        </is>
      </c>
      <c r="G7" s="5" t="n">
        <v>25</v>
      </c>
    </row>
    <row r="8">
      <c r="A8" s="10" t="inlineStr">
        <is>
          <t>TK-1007</t>
        </is>
      </c>
      <c r="B8" s="10" t="inlineStr">
        <is>
          <t>2026-05-18</t>
        </is>
      </c>
      <c r="C8" s="11" t="inlineStr">
        <is>
          <t>Juan Pérez</t>
        </is>
      </c>
      <c r="D8" s="11" t="inlineStr">
        <is>
          <t>Back Office</t>
        </is>
      </c>
      <c r="E8" s="11" t="inlineStr">
        <is>
          <t>Usuario Bloqueado</t>
        </is>
      </c>
      <c r="F8" s="10" t="inlineStr">
        <is>
          <t>Resuelto</t>
        </is>
      </c>
      <c r="G8" s="12" t="n">
        <v>15</v>
      </c>
    </row>
    <row r="9">
      <c r="A9" s="13" t="inlineStr">
        <is>
          <t>TK-1008</t>
        </is>
      </c>
      <c r="B9" s="13" t="inlineStr">
        <is>
          <t>2026-05-18</t>
        </is>
      </c>
      <c r="C9" s="4" t="inlineStr">
        <is>
          <t>Carlos M.</t>
        </is>
      </c>
      <c r="D9" s="4" t="inlineStr">
        <is>
          <t>POS</t>
        </is>
      </c>
      <c r="E9" s="4" t="inlineStr">
        <is>
          <t>Contraseña Expirada</t>
        </is>
      </c>
      <c r="F9" s="13" t="inlineStr">
        <is>
          <t>Resuelto</t>
        </is>
      </c>
      <c r="G9" s="5" t="n">
        <v>12</v>
      </c>
    </row>
    <row r="10">
      <c r="A10" s="10" t="inlineStr">
        <is>
          <t>TK-1009</t>
        </is>
      </c>
      <c r="B10" s="10" t="inlineStr">
        <is>
          <t>2026-05-19</t>
        </is>
      </c>
      <c r="C10" s="11" t="inlineStr">
        <is>
          <t>Cynthia B.</t>
        </is>
      </c>
      <c r="D10" s="11" t="inlineStr">
        <is>
          <t>Back Office</t>
        </is>
      </c>
      <c r="E10" s="11" t="inlineStr">
        <is>
          <t>Error de Permisos</t>
        </is>
      </c>
      <c r="F10" s="10" t="inlineStr">
        <is>
          <t>Pendiente</t>
        </is>
      </c>
      <c r="G10" s="12" t="n">
        <v>0</v>
      </c>
    </row>
    <row r="11">
      <c r="A11" s="13" t="inlineStr">
        <is>
          <t>TK-1010</t>
        </is>
      </c>
      <c r="B11" s="13" t="inlineStr">
        <is>
          <t>2026-05-19</t>
        </is>
      </c>
      <c r="C11" s="4" t="inlineStr">
        <is>
          <t>Luis T.</t>
        </is>
      </c>
      <c r="D11" s="4" t="inlineStr">
        <is>
          <t>POS</t>
        </is>
      </c>
      <c r="E11" s="4" t="inlineStr">
        <is>
          <t>Usuario Bloqueado</t>
        </is>
      </c>
      <c r="F11" s="13" t="inlineStr">
        <is>
          <t>Resuelto</t>
        </is>
      </c>
      <c r="G11" s="5" t="n">
        <v>18</v>
      </c>
    </row>
    <row r="12">
      <c r="A12" s="10" t="inlineStr">
        <is>
          <t>TK-1011</t>
        </is>
      </c>
      <c r="B12" s="10" t="inlineStr">
        <is>
          <t>2026-05-20</t>
        </is>
      </c>
      <c r="C12" s="11" t="inlineStr">
        <is>
          <t>Sofía G.</t>
        </is>
      </c>
      <c r="D12" s="11" t="inlineStr">
        <is>
          <t>Back Office</t>
        </is>
      </c>
      <c r="E12" s="11" t="inlineStr">
        <is>
          <t>Usuario Bloqueado</t>
        </is>
      </c>
      <c r="F12" s="10" t="inlineStr">
        <is>
          <t>Resuelto</t>
        </is>
      </c>
      <c r="G12" s="12" t="n">
        <v>15</v>
      </c>
    </row>
    <row r="13">
      <c r="A13" s="13" t="inlineStr">
        <is>
          <t>TK-1012</t>
        </is>
      </c>
      <c r="B13" s="13" t="inlineStr">
        <is>
          <t>2026-05-20</t>
        </is>
      </c>
      <c r="C13" s="4" t="inlineStr">
        <is>
          <t>Alex A.</t>
        </is>
      </c>
      <c r="D13" s="4" t="inlineStr">
        <is>
          <t>POS</t>
        </is>
      </c>
      <c r="E13" s="4" t="inlineStr">
        <is>
          <t>Falla de Sistema</t>
        </is>
      </c>
      <c r="F13" s="13" t="inlineStr">
        <is>
          <t>Resuelto</t>
        </is>
      </c>
      <c r="G13" s="5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2026-05-22T00:38:45Z</dcterms:created>
  <dcterms:modified xmlns:dcterms="http://purl.org/dc/terms/" xmlns:xsi="http://www.w3.org/2001/XMLSchema-instance" xsi:type="dcterms:W3CDTF">2026-05-22T00:38:45Z</dcterms:modified>
</cp:coreProperties>
</file>